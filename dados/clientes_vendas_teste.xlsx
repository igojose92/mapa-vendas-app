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gojo\Downloads\"/>
    </mc:Choice>
  </mc:AlternateContent>
  <xr:revisionPtr revIDLastSave="0" documentId="13_ncr:1_{36D940EB-77FD-4125-BA00-454284CC02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2" i="1"/>
</calcChain>
</file>

<file path=xl/sharedStrings.xml><?xml version="1.0" encoding="utf-8"?>
<sst xmlns="http://schemas.openxmlformats.org/spreadsheetml/2006/main" count="713" uniqueCount="352">
  <si>
    <t>Nome Fantasia</t>
  </si>
  <si>
    <t>CNPJ</t>
  </si>
  <si>
    <t>Região (DF)</t>
  </si>
  <si>
    <t>Segmentação</t>
  </si>
  <si>
    <t>Setor</t>
  </si>
  <si>
    <t>Data de Cadastro</t>
  </si>
  <si>
    <t>Representante</t>
  </si>
  <si>
    <t>Dia de Visita</t>
  </si>
  <si>
    <t>Frequência de Visita</t>
  </si>
  <si>
    <t>Qtd Equipamentos (Freezers)</t>
  </si>
  <si>
    <t>Tipo de Pagamento</t>
  </si>
  <si>
    <t>Prazo Boleto (Dias)</t>
  </si>
  <si>
    <t>Limite de Crédito (R$)</t>
  </si>
  <si>
    <t>Telefone Contato</t>
  </si>
  <si>
    <t>E-mail Contato</t>
  </si>
  <si>
    <t>Status</t>
  </si>
  <si>
    <t>Latitude</t>
  </si>
  <si>
    <t>Longitude</t>
  </si>
  <si>
    <t>CLI-0001</t>
  </si>
  <si>
    <t>Cardoso Mercado</t>
  </si>
  <si>
    <t>59.436.172/0001-55</t>
  </si>
  <si>
    <t>Vicente Pires</t>
  </si>
  <si>
    <t>Supermercado</t>
  </si>
  <si>
    <t>05/04/2025</t>
  </si>
  <si>
    <t>Roberto Lima</t>
  </si>
  <si>
    <t>Quarta-feira</t>
  </si>
  <si>
    <t>Semanal</t>
  </si>
  <si>
    <t>PIX</t>
  </si>
  <si>
    <t>19 93606-6104</t>
  </si>
  <si>
    <t>rhavi06@guerra.com</t>
  </si>
  <si>
    <t>Ativo</t>
  </si>
  <si>
    <t>CLI-0002</t>
  </si>
  <si>
    <t>Fogaça Distribuidora</t>
  </si>
  <si>
    <t>16.483.290/0001-01</t>
  </si>
  <si>
    <t>Samambaia</t>
  </si>
  <si>
    <t>Bar/Botequim</t>
  </si>
  <si>
    <t>17/03/2025</t>
  </si>
  <si>
    <t>Mariana Souza</t>
  </si>
  <si>
    <t>Sexta-feira</t>
  </si>
  <si>
    <t>Boleto</t>
  </si>
  <si>
    <t>+55 37 93608-6990</t>
  </si>
  <si>
    <t>laravasconcelos@abreu.gov.br</t>
  </si>
  <si>
    <t>CLI-0003</t>
  </si>
  <si>
    <t>Fernandes - ME Mercado</t>
  </si>
  <si>
    <t>10.352.467/0001-54</t>
  </si>
  <si>
    <t>Taguatinga</t>
  </si>
  <si>
    <t>Conveniência</t>
  </si>
  <si>
    <t>22/06/2026</t>
  </si>
  <si>
    <t>Juliana Alves</t>
  </si>
  <si>
    <t>Segunda-feira</t>
  </si>
  <si>
    <t>Mensal</t>
  </si>
  <si>
    <t>+55 86 93803-9690</t>
  </si>
  <si>
    <t>abreujoana@cunha.com.br</t>
  </si>
  <si>
    <t>CLI-0004</t>
  </si>
  <si>
    <t>Vasconcelos S.A. Restaurante</t>
  </si>
  <si>
    <t>48.057.612/0001-47</t>
  </si>
  <si>
    <t>Sobradinho</t>
  </si>
  <si>
    <t>Restaurante</t>
  </si>
  <si>
    <t>08/05/2025</t>
  </si>
  <si>
    <t>Quinta-feira</t>
  </si>
  <si>
    <t>24 96912-8422</t>
  </si>
  <si>
    <t>henry40@vasconcelos.com</t>
  </si>
  <si>
    <t>CLI-0005</t>
  </si>
  <si>
    <t>Ribeiro Rodrigues S/A Restaurante</t>
  </si>
  <si>
    <t>53.120.697/0001-09</t>
  </si>
  <si>
    <t>Gama</t>
  </si>
  <si>
    <t>Empório</t>
  </si>
  <si>
    <t>29/03/2026</t>
  </si>
  <si>
    <t>+55 16 90389-4221</t>
  </si>
  <si>
    <t>fonsecapietro@farias.net</t>
  </si>
  <si>
    <t>CLI-0006</t>
  </si>
  <si>
    <t>Melo Pacheco - ME Distribuidora</t>
  </si>
  <si>
    <t>43.705.269/0001-86</t>
  </si>
  <si>
    <t>Sudoeste/Octogonal</t>
  </si>
  <si>
    <t>10/02/2026</t>
  </si>
  <si>
    <t>+55 42 97954-4840</t>
  </si>
  <si>
    <t>sampaioarthur-miguel@porto.gov.br</t>
  </si>
  <si>
    <t>Prospecção</t>
  </si>
  <si>
    <t>CLI-0007</t>
  </si>
  <si>
    <t>Moraes Bar</t>
  </si>
  <si>
    <t>71.368.250/0001-27</t>
  </si>
  <si>
    <t>Plano Piloto</t>
  </si>
  <si>
    <t>16/08/2024</t>
  </si>
  <si>
    <t>Carlos Eduardo</t>
  </si>
  <si>
    <t>+55 11 97297-4111</t>
  </si>
  <si>
    <t>kevin93@moraes.br</t>
  </si>
  <si>
    <t>CLI-0008</t>
  </si>
  <si>
    <t>Nascimento Restaurante</t>
  </si>
  <si>
    <t>19.346.507/0001-20</t>
  </si>
  <si>
    <t>25/03/2025</t>
  </si>
  <si>
    <t>Quinzenal</t>
  </si>
  <si>
    <t>+55 66 99941-6196</t>
  </si>
  <si>
    <t>anamendes@martins.edu.br</t>
  </si>
  <si>
    <t>Inativo</t>
  </si>
  <si>
    <t>CLI-0009</t>
  </si>
  <si>
    <t>Rios Mercado</t>
  </si>
  <si>
    <t>16.734.598/0001-82</t>
  </si>
  <si>
    <t>04/10/2023</t>
  </si>
  <si>
    <t>43 95664-2565</t>
  </si>
  <si>
    <t>maysa94@fogaca.com.br</t>
  </si>
  <si>
    <t>CLI-0010</t>
  </si>
  <si>
    <t>Rocha - EI Distribuidora</t>
  </si>
  <si>
    <t>50.124.873/0001-84</t>
  </si>
  <si>
    <t>23/08/2025</t>
  </si>
  <si>
    <t>54 90117-9129</t>
  </si>
  <si>
    <t>joao-miguel07@ferreira.br</t>
  </si>
  <si>
    <t>CLI-0011</t>
  </si>
  <si>
    <t>da Paz Mercado</t>
  </si>
  <si>
    <t>07.124.598/0001-70</t>
  </si>
  <si>
    <t>16/10/2024</t>
  </si>
  <si>
    <t>Terça-feira</t>
  </si>
  <si>
    <t>41 95176-0532</t>
  </si>
  <si>
    <t>caldeiraana-julia@castro.com.br</t>
  </si>
  <si>
    <t>CLI-0012</t>
  </si>
  <si>
    <t>Mendes Mercado</t>
  </si>
  <si>
    <t>96.103.728/0001-18</t>
  </si>
  <si>
    <t>28/02/2024</t>
  </si>
  <si>
    <t>+55 27 96717-6181</t>
  </si>
  <si>
    <t>pachecoleonardo@vargas.gov.br</t>
  </si>
  <si>
    <t>CLI-0013</t>
  </si>
  <si>
    <t>Cunha Bar</t>
  </si>
  <si>
    <t>94.358.012/0001-36</t>
  </si>
  <si>
    <t>21/09/2025</t>
  </si>
  <si>
    <t>+55 69 95168-2129</t>
  </si>
  <si>
    <t>davicostela@rezende.br</t>
  </si>
  <si>
    <t>CLI-0014</t>
  </si>
  <si>
    <t>Novaes Distribuidora</t>
  </si>
  <si>
    <t>43.580.796/0001-01</t>
  </si>
  <si>
    <t>16/03/2026</t>
  </si>
  <si>
    <t>+55 64 93153-8967</t>
  </si>
  <si>
    <t>ebarros@moreira.br</t>
  </si>
  <si>
    <t>CLI-0015</t>
  </si>
  <si>
    <t>Cavalcante Restaurante</t>
  </si>
  <si>
    <t>72.518.049/0001-41</t>
  </si>
  <si>
    <t>Águas Claras</t>
  </si>
  <si>
    <t>Lanchonete</t>
  </si>
  <si>
    <t>09/02/2026</t>
  </si>
  <si>
    <t>53 91087-0161</t>
  </si>
  <si>
    <t>benjaminbrito@moreira.com</t>
  </si>
  <si>
    <t>CLI-0016</t>
  </si>
  <si>
    <t>Borges Restaurante</t>
  </si>
  <si>
    <t>97.341.026/0001-35</t>
  </si>
  <si>
    <t>07/04/2026</t>
  </si>
  <si>
    <t>+55 44 94278-6882</t>
  </si>
  <si>
    <t>correiathomas@fonseca.com</t>
  </si>
  <si>
    <t>CLI-0017</t>
  </si>
  <si>
    <t>Alves Moraes e Filhos Mercado</t>
  </si>
  <si>
    <t>32.647.985/0001-38</t>
  </si>
  <si>
    <t>Ceilândia</t>
  </si>
  <si>
    <t>25/11/2024</t>
  </si>
  <si>
    <t>87 97871-4092</t>
  </si>
  <si>
    <t>joana10@pacheco.br</t>
  </si>
  <si>
    <t>CLI-0018</t>
  </si>
  <si>
    <t>Ferreira Distribuidora</t>
  </si>
  <si>
    <t>84.960.172/0001-05</t>
  </si>
  <si>
    <t>05/10/2025</t>
  </si>
  <si>
    <t>+55 91 95937-8436</t>
  </si>
  <si>
    <t>qda-rosa@farias.com.br</t>
  </si>
  <si>
    <t>CLI-0019</t>
  </si>
  <si>
    <t>Machado Mercado</t>
  </si>
  <si>
    <t>62.410.895/0001-90</t>
  </si>
  <si>
    <t>13/05/2025</t>
  </si>
  <si>
    <t>53 95635-6799</t>
  </si>
  <si>
    <t>diogolopes@da.br</t>
  </si>
  <si>
    <t>CLI-0020</t>
  </si>
  <si>
    <t>Monteiro Garcia - ME Mercado</t>
  </si>
  <si>
    <t>02.413.659/0001-03</t>
  </si>
  <si>
    <t>30/11/2023</t>
  </si>
  <si>
    <t>+55 92 90592-3031</t>
  </si>
  <si>
    <t>cauesousa@rocha.com</t>
  </si>
  <si>
    <t>CLI-0021</t>
  </si>
  <si>
    <t>Aparecida Vasconcelos S/A Distribuidora</t>
  </si>
  <si>
    <t>16.794.028/0001-88</t>
  </si>
  <si>
    <t>Guará</t>
  </si>
  <si>
    <t>07/09/2023</t>
  </si>
  <si>
    <t>+55 31 92879-5429</t>
  </si>
  <si>
    <t>sousaoliver@caldeira.edu.br</t>
  </si>
  <si>
    <t>CLI-0022</t>
  </si>
  <si>
    <t>79.534.618/0001-91</t>
  </si>
  <si>
    <t>17/05/2026</t>
  </si>
  <si>
    <t>+55 16 98220-6371</t>
  </si>
  <si>
    <t>montenegroguilherme@camargo.org</t>
  </si>
  <si>
    <t>CLI-0023</t>
  </si>
  <si>
    <t>Rodrigues Bar</t>
  </si>
  <si>
    <t>60.319.452/0001-62</t>
  </si>
  <si>
    <t>18/11/2025</t>
  </si>
  <si>
    <t>+55 17 93137-1786</t>
  </si>
  <si>
    <t>marianeteixeira@sa.br</t>
  </si>
  <si>
    <t>CLI-0024</t>
  </si>
  <si>
    <t>da Rocha Bar</t>
  </si>
  <si>
    <t>57.631.092/0001-25</t>
  </si>
  <si>
    <t>03/07/2025</t>
  </si>
  <si>
    <t>32 90587-6319</t>
  </si>
  <si>
    <t>maria-ceciliasampaio@da.edu.br</t>
  </si>
  <si>
    <t>CLI-0025</t>
  </si>
  <si>
    <t>Almeida Restaurante</t>
  </si>
  <si>
    <t>36.701.542/0001-39</t>
  </si>
  <si>
    <t>+55 55 98019-5085</t>
  </si>
  <si>
    <t>aurora34@souza.com.br</t>
  </si>
  <si>
    <t>CLI-0026</t>
  </si>
  <si>
    <t>Montenegro Bar</t>
  </si>
  <si>
    <t>02.371.864/0001-45</t>
  </si>
  <si>
    <t>02/01/2024</t>
  </si>
  <si>
    <t>+55 49 97356-9374</t>
  </si>
  <si>
    <t>alice35@macedo.com</t>
  </si>
  <si>
    <t>CLI-0027</t>
  </si>
  <si>
    <t>Sampaio Restaurante</t>
  </si>
  <si>
    <t>64.895.123/0001-10</t>
  </si>
  <si>
    <t>11/04/2026</t>
  </si>
  <si>
    <t>21 97498-7338</t>
  </si>
  <si>
    <t>mfogaca@rios.com.br</t>
  </si>
  <si>
    <t>CLI-0028</t>
  </si>
  <si>
    <t>Sá Aparecida Ltda. Restaurante</t>
  </si>
  <si>
    <t>79.302.418/0001-03</t>
  </si>
  <si>
    <t>22/11/2025</t>
  </si>
  <si>
    <t>+55 22 97236-2291</t>
  </si>
  <si>
    <t>erick28@cavalcanti.com.br</t>
  </si>
  <si>
    <t>CLI-0029</t>
  </si>
  <si>
    <t>Pimenta Bar</t>
  </si>
  <si>
    <t>03.276.185/0001-50</t>
  </si>
  <si>
    <t>23/06/2025</t>
  </si>
  <si>
    <t>16 92930-7915</t>
  </si>
  <si>
    <t>ayllasilva@teixeira.edu.br</t>
  </si>
  <si>
    <t>CLI-0030</t>
  </si>
  <si>
    <t>da Luz Oliveira S.A. Mercado</t>
  </si>
  <si>
    <t>62.875.430/0001-04</t>
  </si>
  <si>
    <t>26/04/2026</t>
  </si>
  <si>
    <t>+55 75 95130-0446</t>
  </si>
  <si>
    <t>andrepacheco@goncalves.com.br</t>
  </si>
  <si>
    <t>CLI-0031</t>
  </si>
  <si>
    <t>Marques e Filhos Distribuidora</t>
  </si>
  <si>
    <t>41.028.756/0001-26</t>
  </si>
  <si>
    <t>26/11/2024</t>
  </si>
  <si>
    <t>27 93292-0019</t>
  </si>
  <si>
    <t>moliveira@souza.com</t>
  </si>
  <si>
    <t>CLI-0032</t>
  </si>
  <si>
    <t>Andrade Leão Ltda. Restaurante</t>
  </si>
  <si>
    <t>69.431.728/0001-74</t>
  </si>
  <si>
    <t>24/06/2024</t>
  </si>
  <si>
    <t>13 95001-5502</t>
  </si>
  <si>
    <t>macedolucca@machado.net</t>
  </si>
  <si>
    <t>CLI-0033</t>
  </si>
  <si>
    <t>Cavalcanti Bar</t>
  </si>
  <si>
    <t>32.459.076/0001-76</t>
  </si>
  <si>
    <t>01/07/2024</t>
  </si>
  <si>
    <t>19 93186-9504</t>
  </si>
  <si>
    <t>luisa73@brito.com</t>
  </si>
  <si>
    <t>CLI-0034</t>
  </si>
  <si>
    <t>Santos e Filhos Mercado</t>
  </si>
  <si>
    <t>65.790.124/0001-63</t>
  </si>
  <si>
    <t>12/07/2026</t>
  </si>
  <si>
    <t>62 94070-1326</t>
  </si>
  <si>
    <t>caldeirasofia@da.br</t>
  </si>
  <si>
    <t>CLI-0035</t>
  </si>
  <si>
    <t>da Rocha Distribuidora</t>
  </si>
  <si>
    <t>45.987.630/0001-30</t>
  </si>
  <si>
    <t>06/11/2024</t>
  </si>
  <si>
    <t>34 99455-3719</t>
  </si>
  <si>
    <t>gabriellycorreia@nunes.com.br</t>
  </si>
  <si>
    <t>CLI-0036</t>
  </si>
  <si>
    <t>Cavalcanti Ltda. Restaurante</t>
  </si>
  <si>
    <t>01.658.237/0001-27</t>
  </si>
  <si>
    <t>14/11/2025</t>
  </si>
  <si>
    <t>55 97697-4768</t>
  </si>
  <si>
    <t>pietroandrade@barros.br</t>
  </si>
  <si>
    <t>CLI-0037</t>
  </si>
  <si>
    <t>Sales - EI Bar</t>
  </si>
  <si>
    <t>04.386.192/0001-77</t>
  </si>
  <si>
    <t>11/02/2026</t>
  </si>
  <si>
    <t>55 90791-7094</t>
  </si>
  <si>
    <t>rsampaio@da.com</t>
  </si>
  <si>
    <t>CLI-0038</t>
  </si>
  <si>
    <t>Casa Grande Mercado</t>
  </si>
  <si>
    <t>07.285.139/0001-78</t>
  </si>
  <si>
    <t>21/06/2026</t>
  </si>
  <si>
    <t>91 95561-4445</t>
  </si>
  <si>
    <t>lucas-gabrielda-mota@carvalho.com.br</t>
  </si>
  <si>
    <t>CLI-0039</t>
  </si>
  <si>
    <t>Azevedo Garcia - ME Bar</t>
  </si>
  <si>
    <t>64.958.320/0001-31</t>
  </si>
  <si>
    <t>18/03/2025</t>
  </si>
  <si>
    <t>+55 92 94173-0934</t>
  </si>
  <si>
    <t>xdas-neves@dias.org</t>
  </si>
  <si>
    <t>CLI-0040</t>
  </si>
  <si>
    <t>Pinto Bar</t>
  </si>
  <si>
    <t>25.619.834/0001-00</t>
  </si>
  <si>
    <t>30/10/2025</t>
  </si>
  <si>
    <t>24 98586-9643</t>
  </si>
  <si>
    <t>vmachado@brito.br</t>
  </si>
  <si>
    <t>CLI-0041</t>
  </si>
  <si>
    <t>da Mata Mercado</t>
  </si>
  <si>
    <t>56.837.401/0001-55</t>
  </si>
  <si>
    <t>+55 65 90988-4984</t>
  </si>
  <si>
    <t>arthur-miguelrodrigues@vieira.br</t>
  </si>
  <si>
    <t>CLI-0042</t>
  </si>
  <si>
    <t>da Costa Bar</t>
  </si>
  <si>
    <t>42.695.730/0001-02</t>
  </si>
  <si>
    <t>21/07/2024</t>
  </si>
  <si>
    <t>21 91315-0438</t>
  </si>
  <si>
    <t>idas-neves@duarte.br</t>
  </si>
  <si>
    <t>CLI-0043</t>
  </si>
  <si>
    <t>Mendonça Mercado</t>
  </si>
  <si>
    <t>72.501.934/0001-18</t>
  </si>
  <si>
    <t>01/01/2026</t>
  </si>
  <si>
    <t>43 97152-8333</t>
  </si>
  <si>
    <t>luara73@azevedo.gov.br</t>
  </si>
  <si>
    <t>CLI-0044</t>
  </si>
  <si>
    <t>Rios S.A. Distribuidora</t>
  </si>
  <si>
    <t>63.527.084/0001-36</t>
  </si>
  <si>
    <t>05/11/2024</t>
  </si>
  <si>
    <t>94 98360-5645</t>
  </si>
  <si>
    <t>maria-julia77@pacheco.net</t>
  </si>
  <si>
    <t>CLI-0045</t>
  </si>
  <si>
    <t>da Rocha Correia Ltda. Restaurante</t>
  </si>
  <si>
    <t>64.528.309/0001-31</t>
  </si>
  <si>
    <t>02/12/2024</t>
  </si>
  <si>
    <t>+55 38 93923-0388</t>
  </si>
  <si>
    <t>borgesandre@cardoso.com</t>
  </si>
  <si>
    <t>CLI-0046</t>
  </si>
  <si>
    <t>Gomes Caldeira - EI Distribuidora</t>
  </si>
  <si>
    <t>42.370.819/0001-90</t>
  </si>
  <si>
    <t>03/12/2024</t>
  </si>
  <si>
    <t>+55 61 98945-5294</t>
  </si>
  <si>
    <t>ycostela@rocha.br</t>
  </si>
  <si>
    <t>CLI-0047</t>
  </si>
  <si>
    <t>Sá Distribuidora</t>
  </si>
  <si>
    <t>32.971.504/0001-45</t>
  </si>
  <si>
    <t>14/06/2026</t>
  </si>
  <si>
    <t>73 95643-6656</t>
  </si>
  <si>
    <t>portoisabella@camargo.net</t>
  </si>
  <si>
    <t>CLI-0048</t>
  </si>
  <si>
    <t>Mendonça Oliveira Ltda. Bar</t>
  </si>
  <si>
    <t>40.923.167/0001-49</t>
  </si>
  <si>
    <t>08/11/2023</t>
  </si>
  <si>
    <t>+55 18 98816-9238</t>
  </si>
  <si>
    <t>caiocostela@peixoto.com.br</t>
  </si>
  <si>
    <t>CLI-0049</t>
  </si>
  <si>
    <t>Andrade e Filhos Restaurante</t>
  </si>
  <si>
    <t>86.547.239/0001-00</t>
  </si>
  <si>
    <t>23/10/2024</t>
  </si>
  <si>
    <t>+55 33 92714-4885</t>
  </si>
  <si>
    <t>sabrina29@melo.com</t>
  </si>
  <si>
    <t>CLI-0050</t>
  </si>
  <si>
    <t>Nunes da Conceição e Filhos Mercado</t>
  </si>
  <si>
    <t>05.794.126/0001-07</t>
  </si>
  <si>
    <t>30/12/2023</t>
  </si>
  <si>
    <t>12 91489-0802</t>
  </si>
  <si>
    <t>maria-laura66@almeida.com.br</t>
  </si>
  <si>
    <t>Código do Cliente</t>
  </si>
  <si>
    <t>Comprou no Mês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</si>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</sst>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/>
    <xf numFmtId="0" fontId="3" fillId="0" borderId="3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"/>
  <sheetViews>
    <sheetView tabSelected="1" topLeftCell="A13" workbookViewId="0">
      <selection activeCell="B7" sqref="B7"/>
    </sheetView>
  </sheetViews>
  <sheetFormatPr defaultRowHeight="14.4" x14ac:dyDescent="0.3"/>
  <cols>
    <col min="1" max="1" width="19.6640625" bestFit="1" customWidth="1"/>
    <col min="2" max="2" width="34.44140625" bestFit="1" customWidth="1"/>
    <col min="3" max="3" width="17.77734375" bestFit="1" customWidth="1"/>
    <col min="4" max="4" width="17.88671875" bestFit="1" customWidth="1"/>
    <col min="5" max="5" width="12.77734375" bestFit="1" customWidth="1"/>
    <col min="6" max="6" width="21.109375" bestFit="1" customWidth="1"/>
    <col min="7" max="7" width="15.44140625" bestFit="1" customWidth="1"/>
    <col min="8" max="8" width="13.44140625" bestFit="1" customWidth="1"/>
    <col min="9" max="9" width="12.21875" bestFit="1" customWidth="1"/>
    <col min="10" max="10" width="18" bestFit="1" customWidth="1"/>
    <col min="11" max="11" width="25.6640625" bestFit="1" customWidth="1"/>
    <col min="12" max="12" width="17.5546875" bestFit="1" customWidth="1"/>
    <col min="13" max="13" width="16.88671875" bestFit="1" customWidth="1"/>
    <col min="14" max="14" width="19.33203125" bestFit="1" customWidth="1"/>
    <col min="15" max="15" width="16.6640625" bestFit="1" customWidth="1"/>
    <col min="16" max="16" width="34" bestFit="1" customWidth="1"/>
    <col min="17" max="17" width="15.6640625" bestFit="1" customWidth="1"/>
    <col min="18" max="18" width="10.44140625" bestFit="1" customWidth="1"/>
    <col min="19" max="20" width="10.6640625" bestFit="1" customWidth="1"/>
  </cols>
  <sheetData>
    <row r="1" spans="1:20" x14ac:dyDescent="0.3">
      <c r="A1" s="3" t="s">
        <v>348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349</v>
      </c>
      <c r="R1" s="1" t="s">
        <v>15</v>
      </c>
      <c r="S1" s="1" t="s">
        <v>16</v>
      </c>
      <c r="T1" s="1" t="s">
        <v>17</v>
      </c>
    </row>
    <row r="2" spans="1:20" x14ac:dyDescent="0.3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tr">
        <f ca="1">TEXT(RANDBETWEEN(1,10),"000")</f>
        <v>009</v>
      </c>
      <c r="G2" t="s">
        <v>23</v>
      </c>
      <c r="H2" t="s">
        <v>24</v>
      </c>
      <c r="I2" t="s">
        <v>25</v>
      </c>
      <c r="J2" t="s">
        <v>26</v>
      </c>
      <c r="K2">
        <v>3</v>
      </c>
      <c r="L2" t="s">
        <v>27</v>
      </c>
      <c r="M2">
        <v>0</v>
      </c>
      <c r="N2">
        <v>5857.47</v>
      </c>
      <c r="O2" t="s">
        <v>28</v>
      </c>
      <c r="P2" t="s">
        <v>29</v>
      </c>
      <c r="Q2" t="s">
        <v>350</v>
      </c>
      <c r="R2" t="s">
        <v>30</v>
      </c>
      <c r="S2">
        <v>-15.647403000000001</v>
      </c>
      <c r="T2">
        <v>-47.711207000000002</v>
      </c>
    </row>
    <row r="3" spans="1:20" x14ac:dyDescent="0.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tr">
        <f t="shared" ref="F3:F51" ca="1" si="0">TEXT(RANDBETWEEN(1,10),"000")</f>
        <v>005</v>
      </c>
      <c r="G3" t="s">
        <v>36</v>
      </c>
      <c r="H3" t="s">
        <v>37</v>
      </c>
      <c r="I3" t="s">
        <v>38</v>
      </c>
      <c r="J3" t="s">
        <v>26</v>
      </c>
      <c r="K3">
        <v>0</v>
      </c>
      <c r="L3" t="s">
        <v>39</v>
      </c>
      <c r="M3">
        <v>28</v>
      </c>
      <c r="N3">
        <v>18842.34</v>
      </c>
      <c r="O3" t="s">
        <v>40</v>
      </c>
      <c r="P3" t="s">
        <v>41</v>
      </c>
      <c r="Q3" t="s">
        <v>350</v>
      </c>
      <c r="R3" t="s">
        <v>30</v>
      </c>
      <c r="S3">
        <v>-15.533796000000001</v>
      </c>
      <c r="T3">
        <v>-48.249299000000001</v>
      </c>
    </row>
    <row r="4" spans="1:20" x14ac:dyDescent="0.3">
      <c r="A4" t="s">
        <v>42</v>
      </c>
      <c r="B4" t="s">
        <v>43</v>
      </c>
      <c r="C4" t="s">
        <v>44</v>
      </c>
      <c r="D4" t="s">
        <v>45</v>
      </c>
      <c r="E4" t="s">
        <v>46</v>
      </c>
      <c r="F4" t="str">
        <f t="shared" ca="1" si="0"/>
        <v>007</v>
      </c>
      <c r="G4" t="s">
        <v>47</v>
      </c>
      <c r="H4" t="s">
        <v>48</v>
      </c>
      <c r="I4" t="s">
        <v>49</v>
      </c>
      <c r="J4" t="s">
        <v>50</v>
      </c>
      <c r="K4">
        <v>4</v>
      </c>
      <c r="L4" t="s">
        <v>39</v>
      </c>
      <c r="M4">
        <v>28</v>
      </c>
      <c r="N4">
        <v>21656.52</v>
      </c>
      <c r="O4" t="s">
        <v>51</v>
      </c>
      <c r="P4" t="s">
        <v>52</v>
      </c>
      <c r="Q4" t="s">
        <v>351</v>
      </c>
      <c r="R4" t="s">
        <v>30</v>
      </c>
      <c r="S4">
        <v>-15.848501000000001</v>
      </c>
      <c r="T4">
        <v>-47.839537</v>
      </c>
    </row>
    <row r="5" spans="1:20" x14ac:dyDescent="0.3">
      <c r="A5" t="s">
        <v>53</v>
      </c>
      <c r="B5" t="s">
        <v>54</v>
      </c>
      <c r="C5" t="s">
        <v>55</v>
      </c>
      <c r="D5" t="s">
        <v>56</v>
      </c>
      <c r="E5" t="s">
        <v>57</v>
      </c>
      <c r="F5" t="str">
        <f t="shared" ca="1" si="0"/>
        <v>007</v>
      </c>
      <c r="G5" t="s">
        <v>58</v>
      </c>
      <c r="H5" t="s">
        <v>37</v>
      </c>
      <c r="I5" t="s">
        <v>59</v>
      </c>
      <c r="J5" t="s">
        <v>50</v>
      </c>
      <c r="K5">
        <v>3</v>
      </c>
      <c r="L5" t="s">
        <v>39</v>
      </c>
      <c r="M5">
        <v>28</v>
      </c>
      <c r="N5">
        <v>5149.3</v>
      </c>
      <c r="O5" t="s">
        <v>60</v>
      </c>
      <c r="P5" t="s">
        <v>61</v>
      </c>
      <c r="Q5" t="s">
        <v>351</v>
      </c>
      <c r="R5" t="s">
        <v>30</v>
      </c>
      <c r="S5">
        <v>-15.531789</v>
      </c>
      <c r="T5">
        <v>-47.743040999999998</v>
      </c>
    </row>
    <row r="6" spans="1:20" x14ac:dyDescent="0.3">
      <c r="A6" t="s">
        <v>62</v>
      </c>
      <c r="B6" t="s">
        <v>63</v>
      </c>
      <c r="C6" t="s">
        <v>64</v>
      </c>
      <c r="D6" t="s">
        <v>65</v>
      </c>
      <c r="E6" t="s">
        <v>66</v>
      </c>
      <c r="F6" t="str">
        <f t="shared" ca="1" si="0"/>
        <v>010</v>
      </c>
      <c r="G6" t="s">
        <v>67</v>
      </c>
      <c r="H6" t="s">
        <v>48</v>
      </c>
      <c r="I6" t="s">
        <v>38</v>
      </c>
      <c r="J6" t="s">
        <v>50</v>
      </c>
      <c r="K6">
        <v>1</v>
      </c>
      <c r="L6" t="s">
        <v>39</v>
      </c>
      <c r="M6">
        <v>7</v>
      </c>
      <c r="N6">
        <v>27354.52</v>
      </c>
      <c r="O6" t="s">
        <v>68</v>
      </c>
      <c r="P6" t="s">
        <v>69</v>
      </c>
      <c r="Q6" t="s">
        <v>350</v>
      </c>
      <c r="R6" t="s">
        <v>30</v>
      </c>
      <c r="S6">
        <v>-15.907671000000001</v>
      </c>
      <c r="T6">
        <v>-47.653730000000003</v>
      </c>
    </row>
    <row r="7" spans="1:20" x14ac:dyDescent="0.3">
      <c r="A7" t="s">
        <v>70</v>
      </c>
      <c r="B7" t="s">
        <v>71</v>
      </c>
      <c r="C7" t="s">
        <v>72</v>
      </c>
      <c r="D7" t="s">
        <v>73</v>
      </c>
      <c r="E7" t="s">
        <v>46</v>
      </c>
      <c r="F7" t="str">
        <f t="shared" ca="1" si="0"/>
        <v>002</v>
      </c>
      <c r="G7" t="s">
        <v>74</v>
      </c>
      <c r="H7" t="s">
        <v>37</v>
      </c>
      <c r="I7" t="s">
        <v>38</v>
      </c>
      <c r="J7" t="s">
        <v>26</v>
      </c>
      <c r="K7">
        <v>1</v>
      </c>
      <c r="L7" t="s">
        <v>27</v>
      </c>
      <c r="M7">
        <v>0</v>
      </c>
      <c r="N7">
        <v>19349.53</v>
      </c>
      <c r="O7" t="s">
        <v>75</v>
      </c>
      <c r="P7" t="s">
        <v>76</v>
      </c>
      <c r="R7" t="s">
        <v>77</v>
      </c>
      <c r="S7">
        <v>-15.721155</v>
      </c>
      <c r="T7">
        <v>-47.420313</v>
      </c>
    </row>
    <row r="8" spans="1:20" x14ac:dyDescent="0.3">
      <c r="A8" t="s">
        <v>78</v>
      </c>
      <c r="B8" t="s">
        <v>79</v>
      </c>
      <c r="C8" t="s">
        <v>80</v>
      </c>
      <c r="D8" t="s">
        <v>81</v>
      </c>
      <c r="E8" t="s">
        <v>35</v>
      </c>
      <c r="F8" t="str">
        <f t="shared" ca="1" si="0"/>
        <v>007</v>
      </c>
      <c r="G8" t="s">
        <v>82</v>
      </c>
      <c r="H8" t="s">
        <v>83</v>
      </c>
      <c r="I8" t="s">
        <v>49</v>
      </c>
      <c r="J8" t="s">
        <v>50</v>
      </c>
      <c r="K8">
        <v>2</v>
      </c>
      <c r="L8" t="s">
        <v>27</v>
      </c>
      <c r="M8">
        <v>0</v>
      </c>
      <c r="N8">
        <v>7760.64</v>
      </c>
      <c r="O8" t="s">
        <v>84</v>
      </c>
      <c r="P8" t="s">
        <v>85</v>
      </c>
      <c r="Q8" t="s">
        <v>351</v>
      </c>
      <c r="R8" t="s">
        <v>30</v>
      </c>
      <c r="S8">
        <v>-15.716131000000001</v>
      </c>
      <c r="T8">
        <v>-48.001601000000001</v>
      </c>
    </row>
    <row r="9" spans="1:20" x14ac:dyDescent="0.3">
      <c r="A9" t="s">
        <v>86</v>
      </c>
      <c r="B9" t="s">
        <v>87</v>
      </c>
      <c r="C9" t="s">
        <v>88</v>
      </c>
      <c r="D9" t="s">
        <v>56</v>
      </c>
      <c r="E9" t="s">
        <v>46</v>
      </c>
      <c r="F9" t="str">
        <f t="shared" ca="1" si="0"/>
        <v>001</v>
      </c>
      <c r="G9" t="s">
        <v>89</v>
      </c>
      <c r="H9" t="s">
        <v>83</v>
      </c>
      <c r="I9" t="s">
        <v>59</v>
      </c>
      <c r="J9" t="s">
        <v>90</v>
      </c>
      <c r="K9">
        <v>0</v>
      </c>
      <c r="L9" t="s">
        <v>27</v>
      </c>
      <c r="M9">
        <v>0</v>
      </c>
      <c r="N9">
        <v>0</v>
      </c>
      <c r="O9" t="s">
        <v>91</v>
      </c>
      <c r="P9" t="s">
        <v>92</v>
      </c>
      <c r="Q9" t="s">
        <v>350</v>
      </c>
      <c r="R9" t="s">
        <v>93</v>
      </c>
      <c r="S9">
        <v>-15.716722000000001</v>
      </c>
      <c r="T9">
        <v>-47.416328999999998</v>
      </c>
    </row>
    <row r="10" spans="1:20" x14ac:dyDescent="0.3">
      <c r="A10" t="s">
        <v>94</v>
      </c>
      <c r="B10" t="s">
        <v>95</v>
      </c>
      <c r="C10" t="s">
        <v>96</v>
      </c>
      <c r="D10" t="s">
        <v>45</v>
      </c>
      <c r="E10" t="s">
        <v>35</v>
      </c>
      <c r="F10" t="str">
        <f t="shared" ca="1" si="0"/>
        <v>009</v>
      </c>
      <c r="G10" t="s">
        <v>97</v>
      </c>
      <c r="H10" t="s">
        <v>83</v>
      </c>
      <c r="I10" t="s">
        <v>25</v>
      </c>
      <c r="J10" t="s">
        <v>26</v>
      </c>
      <c r="K10">
        <v>4</v>
      </c>
      <c r="L10" t="s">
        <v>39</v>
      </c>
      <c r="M10">
        <v>30</v>
      </c>
      <c r="N10">
        <v>20083.419999999998</v>
      </c>
      <c r="O10" t="s">
        <v>98</v>
      </c>
      <c r="P10" t="s">
        <v>99</v>
      </c>
      <c r="Q10" t="s">
        <v>350</v>
      </c>
      <c r="R10" t="s">
        <v>30</v>
      </c>
      <c r="S10">
        <v>-15.648717</v>
      </c>
      <c r="T10">
        <v>-47.676197999999999</v>
      </c>
    </row>
    <row r="11" spans="1:20" x14ac:dyDescent="0.3">
      <c r="A11" t="s">
        <v>100</v>
      </c>
      <c r="B11" t="s">
        <v>101</v>
      </c>
      <c r="C11" t="s">
        <v>102</v>
      </c>
      <c r="D11" t="s">
        <v>45</v>
      </c>
      <c r="E11" t="s">
        <v>35</v>
      </c>
      <c r="F11" t="str">
        <f t="shared" ca="1" si="0"/>
        <v>003</v>
      </c>
      <c r="G11" t="s">
        <v>103</v>
      </c>
      <c r="H11" t="s">
        <v>83</v>
      </c>
      <c r="I11" t="s">
        <v>59</v>
      </c>
      <c r="J11" t="s">
        <v>90</v>
      </c>
      <c r="K11">
        <v>4</v>
      </c>
      <c r="L11" t="s">
        <v>39</v>
      </c>
      <c r="M11">
        <v>7</v>
      </c>
      <c r="N11">
        <v>0</v>
      </c>
      <c r="O11" t="s">
        <v>104</v>
      </c>
      <c r="P11" t="s">
        <v>105</v>
      </c>
      <c r="Q11" t="s">
        <v>350</v>
      </c>
      <c r="R11" t="s">
        <v>93</v>
      </c>
      <c r="S11">
        <v>-15.659134999999999</v>
      </c>
      <c r="T11">
        <v>-48.150198000000003</v>
      </c>
    </row>
    <row r="12" spans="1:20" x14ac:dyDescent="0.3">
      <c r="A12" t="s">
        <v>106</v>
      </c>
      <c r="B12" t="s">
        <v>107</v>
      </c>
      <c r="C12" t="s">
        <v>108</v>
      </c>
      <c r="D12" t="s">
        <v>45</v>
      </c>
      <c r="E12" t="s">
        <v>66</v>
      </c>
      <c r="F12" t="str">
        <f t="shared" ca="1" si="0"/>
        <v>002</v>
      </c>
      <c r="G12" t="s">
        <v>109</v>
      </c>
      <c r="H12" t="s">
        <v>37</v>
      </c>
      <c r="I12" t="s">
        <v>110</v>
      </c>
      <c r="J12" t="s">
        <v>26</v>
      </c>
      <c r="K12">
        <v>5</v>
      </c>
      <c r="L12" t="s">
        <v>39</v>
      </c>
      <c r="M12">
        <v>21</v>
      </c>
      <c r="N12">
        <v>22535.73</v>
      </c>
      <c r="O12" t="s">
        <v>111</v>
      </c>
      <c r="P12" t="s">
        <v>112</v>
      </c>
      <c r="Q12" t="s">
        <v>350</v>
      </c>
      <c r="R12" t="s">
        <v>30</v>
      </c>
      <c r="S12">
        <v>-15.938316</v>
      </c>
      <c r="T12">
        <v>-47.401432</v>
      </c>
    </row>
    <row r="13" spans="1:20" x14ac:dyDescent="0.3">
      <c r="A13" t="s">
        <v>113</v>
      </c>
      <c r="B13" t="s">
        <v>114</v>
      </c>
      <c r="C13" t="s">
        <v>115</v>
      </c>
      <c r="D13" t="s">
        <v>21</v>
      </c>
      <c r="E13" t="s">
        <v>46</v>
      </c>
      <c r="F13" t="str">
        <f t="shared" ca="1" si="0"/>
        <v>006</v>
      </c>
      <c r="G13" t="s">
        <v>116</v>
      </c>
      <c r="H13" t="s">
        <v>24</v>
      </c>
      <c r="I13" t="s">
        <v>49</v>
      </c>
      <c r="J13" t="s">
        <v>26</v>
      </c>
      <c r="K13">
        <v>0</v>
      </c>
      <c r="L13" t="s">
        <v>27</v>
      </c>
      <c r="M13">
        <v>0</v>
      </c>
      <c r="N13">
        <v>23021.46</v>
      </c>
      <c r="O13" t="s">
        <v>117</v>
      </c>
      <c r="P13" t="s">
        <v>118</v>
      </c>
      <c r="R13" t="s">
        <v>77</v>
      </c>
      <c r="S13">
        <v>-15.947386</v>
      </c>
      <c r="T13">
        <v>-47.446697</v>
      </c>
    </row>
    <row r="14" spans="1:20" x14ac:dyDescent="0.3">
      <c r="A14" t="s">
        <v>119</v>
      </c>
      <c r="B14" t="s">
        <v>120</v>
      </c>
      <c r="C14" t="s">
        <v>121</v>
      </c>
      <c r="D14" t="s">
        <v>34</v>
      </c>
      <c r="E14" t="s">
        <v>35</v>
      </c>
      <c r="F14" t="str">
        <f t="shared" ca="1" si="0"/>
        <v>008</v>
      </c>
      <c r="G14" t="s">
        <v>122</v>
      </c>
      <c r="H14" t="s">
        <v>37</v>
      </c>
      <c r="I14" t="s">
        <v>59</v>
      </c>
      <c r="J14" t="s">
        <v>50</v>
      </c>
      <c r="K14">
        <v>2</v>
      </c>
      <c r="L14" t="s">
        <v>39</v>
      </c>
      <c r="M14">
        <v>21</v>
      </c>
      <c r="N14">
        <v>11988.9</v>
      </c>
      <c r="O14" t="s">
        <v>123</v>
      </c>
      <c r="P14" t="s">
        <v>124</v>
      </c>
      <c r="Q14" t="s">
        <v>351</v>
      </c>
      <c r="R14" t="s">
        <v>30</v>
      </c>
      <c r="S14">
        <v>-16.046175999999999</v>
      </c>
      <c r="T14">
        <v>-47.790326999999998</v>
      </c>
    </row>
    <row r="15" spans="1:20" x14ac:dyDescent="0.3">
      <c r="A15" t="s">
        <v>125</v>
      </c>
      <c r="B15" t="s">
        <v>126</v>
      </c>
      <c r="C15" t="s">
        <v>127</v>
      </c>
      <c r="D15" t="s">
        <v>73</v>
      </c>
      <c r="E15" t="s">
        <v>57</v>
      </c>
      <c r="F15" t="str">
        <f t="shared" ca="1" si="0"/>
        <v>009</v>
      </c>
      <c r="G15" t="s">
        <v>128</v>
      </c>
      <c r="H15" t="s">
        <v>83</v>
      </c>
      <c r="I15" t="s">
        <v>38</v>
      </c>
      <c r="J15" t="s">
        <v>26</v>
      </c>
      <c r="K15">
        <v>7</v>
      </c>
      <c r="L15" t="s">
        <v>27</v>
      </c>
      <c r="M15">
        <v>0</v>
      </c>
      <c r="N15">
        <v>2254.16</v>
      </c>
      <c r="O15" t="s">
        <v>129</v>
      </c>
      <c r="P15" t="s">
        <v>130</v>
      </c>
      <c r="Q15" t="s">
        <v>350</v>
      </c>
      <c r="R15" t="s">
        <v>30</v>
      </c>
      <c r="S15">
        <v>-15.850004</v>
      </c>
      <c r="T15">
        <v>-47.375396000000002</v>
      </c>
    </row>
    <row r="16" spans="1:20" x14ac:dyDescent="0.3">
      <c r="A16" t="s">
        <v>131</v>
      </c>
      <c r="B16" t="s">
        <v>132</v>
      </c>
      <c r="C16" t="s">
        <v>133</v>
      </c>
      <c r="D16" t="s">
        <v>134</v>
      </c>
      <c r="E16" t="s">
        <v>135</v>
      </c>
      <c r="F16" t="str">
        <f t="shared" ca="1" si="0"/>
        <v>005</v>
      </c>
      <c r="G16" t="s">
        <v>136</v>
      </c>
      <c r="H16" t="s">
        <v>37</v>
      </c>
      <c r="I16" t="s">
        <v>59</v>
      </c>
      <c r="J16" t="s">
        <v>50</v>
      </c>
      <c r="K16">
        <v>2</v>
      </c>
      <c r="L16" t="s">
        <v>39</v>
      </c>
      <c r="M16">
        <v>30</v>
      </c>
      <c r="N16">
        <v>13568.25</v>
      </c>
      <c r="O16" t="s">
        <v>137</v>
      </c>
      <c r="P16" t="s">
        <v>138</v>
      </c>
      <c r="Q16" t="s">
        <v>351</v>
      </c>
      <c r="R16" t="s">
        <v>30</v>
      </c>
      <c r="S16">
        <v>-15.860211</v>
      </c>
      <c r="T16">
        <v>-47.679084000000003</v>
      </c>
    </row>
    <row r="17" spans="1:20" x14ac:dyDescent="0.3">
      <c r="A17" t="s">
        <v>139</v>
      </c>
      <c r="B17" t="s">
        <v>140</v>
      </c>
      <c r="C17" t="s">
        <v>141</v>
      </c>
      <c r="D17" t="s">
        <v>81</v>
      </c>
      <c r="E17" t="s">
        <v>35</v>
      </c>
      <c r="F17" t="str">
        <f t="shared" ca="1" si="0"/>
        <v>002</v>
      </c>
      <c r="G17" t="s">
        <v>142</v>
      </c>
      <c r="H17" t="s">
        <v>24</v>
      </c>
      <c r="I17" t="s">
        <v>38</v>
      </c>
      <c r="J17" t="s">
        <v>50</v>
      </c>
      <c r="K17">
        <v>3</v>
      </c>
      <c r="L17" t="s">
        <v>27</v>
      </c>
      <c r="M17">
        <v>0</v>
      </c>
      <c r="N17">
        <v>12082.6</v>
      </c>
      <c r="O17" t="s">
        <v>143</v>
      </c>
      <c r="P17" t="s">
        <v>144</v>
      </c>
      <c r="Q17" t="s">
        <v>350</v>
      </c>
      <c r="R17" t="s">
        <v>30</v>
      </c>
      <c r="S17">
        <v>-15.791335</v>
      </c>
      <c r="T17">
        <v>-47.364919</v>
      </c>
    </row>
    <row r="18" spans="1:20" x14ac:dyDescent="0.3">
      <c r="A18" t="s">
        <v>145</v>
      </c>
      <c r="B18" t="s">
        <v>146</v>
      </c>
      <c r="C18" t="s">
        <v>147</v>
      </c>
      <c r="D18" t="s">
        <v>148</v>
      </c>
      <c r="E18" t="s">
        <v>35</v>
      </c>
      <c r="F18" t="str">
        <f t="shared" ca="1" si="0"/>
        <v>008</v>
      </c>
      <c r="G18" t="s">
        <v>149</v>
      </c>
      <c r="H18" t="s">
        <v>48</v>
      </c>
      <c r="I18" t="s">
        <v>110</v>
      </c>
      <c r="J18" t="s">
        <v>26</v>
      </c>
      <c r="K18">
        <v>2</v>
      </c>
      <c r="L18" t="s">
        <v>27</v>
      </c>
      <c r="M18">
        <v>0</v>
      </c>
      <c r="N18">
        <v>12596.26</v>
      </c>
      <c r="O18" t="s">
        <v>150</v>
      </c>
      <c r="P18" t="s">
        <v>151</v>
      </c>
      <c r="Q18" t="s">
        <v>351</v>
      </c>
      <c r="R18" t="s">
        <v>30</v>
      </c>
      <c r="S18">
        <v>-15.604774000000001</v>
      </c>
      <c r="T18">
        <v>-47.936200999999997</v>
      </c>
    </row>
    <row r="19" spans="1:20" x14ac:dyDescent="0.3">
      <c r="A19" t="s">
        <v>152</v>
      </c>
      <c r="B19" t="s">
        <v>153</v>
      </c>
      <c r="C19" t="s">
        <v>154</v>
      </c>
      <c r="D19" t="s">
        <v>21</v>
      </c>
      <c r="E19" t="s">
        <v>35</v>
      </c>
      <c r="F19" t="str">
        <f t="shared" ca="1" si="0"/>
        <v>004</v>
      </c>
      <c r="G19" t="s">
        <v>155</v>
      </c>
      <c r="H19" t="s">
        <v>48</v>
      </c>
      <c r="I19" t="s">
        <v>49</v>
      </c>
      <c r="J19" t="s">
        <v>90</v>
      </c>
      <c r="K19">
        <v>0</v>
      </c>
      <c r="L19" t="s">
        <v>27</v>
      </c>
      <c r="M19">
        <v>0</v>
      </c>
      <c r="N19">
        <v>4165.49</v>
      </c>
      <c r="O19" t="s">
        <v>156</v>
      </c>
      <c r="P19" t="s">
        <v>157</v>
      </c>
      <c r="Q19" t="s">
        <v>351</v>
      </c>
      <c r="R19" t="s">
        <v>30</v>
      </c>
      <c r="S19">
        <v>-15.567463</v>
      </c>
      <c r="T19">
        <v>-48.017853000000002</v>
      </c>
    </row>
    <row r="20" spans="1:20" x14ac:dyDescent="0.3">
      <c r="A20" t="s">
        <v>158</v>
      </c>
      <c r="B20" t="s">
        <v>159</v>
      </c>
      <c r="C20" t="s">
        <v>160</v>
      </c>
      <c r="D20" t="s">
        <v>45</v>
      </c>
      <c r="E20" t="s">
        <v>22</v>
      </c>
      <c r="F20" t="str">
        <f t="shared" ca="1" si="0"/>
        <v>008</v>
      </c>
      <c r="G20" t="s">
        <v>161</v>
      </c>
      <c r="H20" t="s">
        <v>48</v>
      </c>
      <c r="I20" t="s">
        <v>49</v>
      </c>
      <c r="J20" t="s">
        <v>50</v>
      </c>
      <c r="K20">
        <v>0</v>
      </c>
      <c r="L20" t="s">
        <v>27</v>
      </c>
      <c r="M20">
        <v>0</v>
      </c>
      <c r="N20">
        <v>6495.38</v>
      </c>
      <c r="O20" t="s">
        <v>162</v>
      </c>
      <c r="P20" t="s">
        <v>163</v>
      </c>
      <c r="R20" t="s">
        <v>77</v>
      </c>
      <c r="S20">
        <v>-15.701794</v>
      </c>
      <c r="T20">
        <v>-47.944873000000001</v>
      </c>
    </row>
    <row r="21" spans="1:20" x14ac:dyDescent="0.3">
      <c r="A21" t="s">
        <v>164</v>
      </c>
      <c r="B21" t="s">
        <v>165</v>
      </c>
      <c r="C21" t="s">
        <v>166</v>
      </c>
      <c r="D21" t="s">
        <v>56</v>
      </c>
      <c r="E21" t="s">
        <v>135</v>
      </c>
      <c r="F21" t="str">
        <f t="shared" ca="1" si="0"/>
        <v>008</v>
      </c>
      <c r="G21" t="s">
        <v>167</v>
      </c>
      <c r="H21" t="s">
        <v>48</v>
      </c>
      <c r="I21" t="s">
        <v>110</v>
      </c>
      <c r="J21" t="s">
        <v>90</v>
      </c>
      <c r="K21">
        <v>5</v>
      </c>
      <c r="L21" t="s">
        <v>27</v>
      </c>
      <c r="M21">
        <v>0</v>
      </c>
      <c r="N21">
        <v>16246.42</v>
      </c>
      <c r="O21" t="s">
        <v>168</v>
      </c>
      <c r="P21" t="s">
        <v>169</v>
      </c>
      <c r="R21" t="s">
        <v>77</v>
      </c>
      <c r="S21">
        <v>-16.044941999999999</v>
      </c>
      <c r="T21">
        <v>-48.158676</v>
      </c>
    </row>
    <row r="22" spans="1:20" x14ac:dyDescent="0.3">
      <c r="A22" t="s">
        <v>170</v>
      </c>
      <c r="B22" t="s">
        <v>171</v>
      </c>
      <c r="C22" t="s">
        <v>172</v>
      </c>
      <c r="D22" t="s">
        <v>173</v>
      </c>
      <c r="E22" t="s">
        <v>22</v>
      </c>
      <c r="F22" t="str">
        <f t="shared" ca="1" si="0"/>
        <v>005</v>
      </c>
      <c r="G22" t="s">
        <v>174</v>
      </c>
      <c r="H22" t="s">
        <v>48</v>
      </c>
      <c r="I22" t="s">
        <v>49</v>
      </c>
      <c r="J22" t="s">
        <v>50</v>
      </c>
      <c r="K22">
        <v>2</v>
      </c>
      <c r="L22" t="s">
        <v>39</v>
      </c>
      <c r="M22">
        <v>28</v>
      </c>
      <c r="N22">
        <v>22635.31</v>
      </c>
      <c r="O22" t="s">
        <v>175</v>
      </c>
      <c r="P22" t="s">
        <v>176</v>
      </c>
      <c r="R22" t="s">
        <v>77</v>
      </c>
      <c r="S22">
        <v>-15.919513</v>
      </c>
      <c r="T22">
        <v>-47.957140000000003</v>
      </c>
    </row>
    <row r="23" spans="1:20" x14ac:dyDescent="0.3">
      <c r="A23" t="s">
        <v>177</v>
      </c>
      <c r="B23" t="s">
        <v>159</v>
      </c>
      <c r="C23" t="s">
        <v>178</v>
      </c>
      <c r="D23" t="s">
        <v>134</v>
      </c>
      <c r="E23" t="s">
        <v>135</v>
      </c>
      <c r="F23" t="str">
        <f t="shared" ca="1" si="0"/>
        <v>005</v>
      </c>
      <c r="G23" t="s">
        <v>179</v>
      </c>
      <c r="H23" t="s">
        <v>83</v>
      </c>
      <c r="I23" t="s">
        <v>59</v>
      </c>
      <c r="J23" t="s">
        <v>50</v>
      </c>
      <c r="K23">
        <v>7</v>
      </c>
      <c r="L23" t="s">
        <v>39</v>
      </c>
      <c r="M23">
        <v>30</v>
      </c>
      <c r="N23">
        <v>30381.7</v>
      </c>
      <c r="O23" t="s">
        <v>180</v>
      </c>
      <c r="P23" t="s">
        <v>181</v>
      </c>
      <c r="Q23" t="s">
        <v>350</v>
      </c>
      <c r="R23" t="s">
        <v>30</v>
      </c>
      <c r="S23">
        <v>-15.782292</v>
      </c>
      <c r="T23">
        <v>-47.434511000000001</v>
      </c>
    </row>
    <row r="24" spans="1:20" x14ac:dyDescent="0.3">
      <c r="A24" t="s">
        <v>182</v>
      </c>
      <c r="B24" t="s">
        <v>183</v>
      </c>
      <c r="C24" t="s">
        <v>184</v>
      </c>
      <c r="D24" t="s">
        <v>34</v>
      </c>
      <c r="E24" t="s">
        <v>66</v>
      </c>
      <c r="F24" t="str">
        <f t="shared" ca="1" si="0"/>
        <v>010</v>
      </c>
      <c r="G24" t="s">
        <v>185</v>
      </c>
      <c r="H24" t="s">
        <v>48</v>
      </c>
      <c r="I24" t="s">
        <v>49</v>
      </c>
      <c r="J24" t="s">
        <v>26</v>
      </c>
      <c r="K24">
        <v>7</v>
      </c>
      <c r="L24" t="s">
        <v>39</v>
      </c>
      <c r="M24">
        <v>28</v>
      </c>
      <c r="N24">
        <v>12245.51</v>
      </c>
      <c r="O24" t="s">
        <v>186</v>
      </c>
      <c r="P24" t="s">
        <v>187</v>
      </c>
      <c r="Q24" t="s">
        <v>350</v>
      </c>
      <c r="R24" t="s">
        <v>30</v>
      </c>
      <c r="S24">
        <v>-16.036625999999998</v>
      </c>
      <c r="T24">
        <v>-47.669074999999999</v>
      </c>
    </row>
    <row r="25" spans="1:20" x14ac:dyDescent="0.3">
      <c r="A25" t="s">
        <v>188</v>
      </c>
      <c r="B25" t="s">
        <v>189</v>
      </c>
      <c r="C25" t="s">
        <v>190</v>
      </c>
      <c r="D25" t="s">
        <v>73</v>
      </c>
      <c r="E25" t="s">
        <v>35</v>
      </c>
      <c r="F25" t="str">
        <f t="shared" ca="1" si="0"/>
        <v>009</v>
      </c>
      <c r="G25" t="s">
        <v>191</v>
      </c>
      <c r="H25" t="s">
        <v>24</v>
      </c>
      <c r="I25" t="s">
        <v>110</v>
      </c>
      <c r="J25" t="s">
        <v>26</v>
      </c>
      <c r="K25">
        <v>1</v>
      </c>
      <c r="L25" t="s">
        <v>39</v>
      </c>
      <c r="M25">
        <v>28</v>
      </c>
      <c r="N25">
        <v>32829.26</v>
      </c>
      <c r="O25" t="s">
        <v>192</v>
      </c>
      <c r="P25" t="s">
        <v>193</v>
      </c>
      <c r="Q25" t="s">
        <v>351</v>
      </c>
      <c r="R25" t="s">
        <v>30</v>
      </c>
      <c r="S25">
        <v>-15.580845</v>
      </c>
      <c r="T25">
        <v>-47.984996000000002</v>
      </c>
    </row>
    <row r="26" spans="1:20" x14ac:dyDescent="0.3">
      <c r="A26" t="s">
        <v>194</v>
      </c>
      <c r="B26" t="s">
        <v>195</v>
      </c>
      <c r="C26" t="s">
        <v>196</v>
      </c>
      <c r="D26" t="s">
        <v>21</v>
      </c>
      <c r="E26" t="s">
        <v>57</v>
      </c>
      <c r="F26" t="str">
        <f t="shared" ca="1" si="0"/>
        <v>003</v>
      </c>
      <c r="G26" t="s">
        <v>82</v>
      </c>
      <c r="H26" t="s">
        <v>83</v>
      </c>
      <c r="I26" t="s">
        <v>49</v>
      </c>
      <c r="J26" t="s">
        <v>26</v>
      </c>
      <c r="K26">
        <v>2</v>
      </c>
      <c r="L26" t="s">
        <v>39</v>
      </c>
      <c r="M26">
        <v>14</v>
      </c>
      <c r="N26">
        <v>25102.97</v>
      </c>
      <c r="O26" t="s">
        <v>197</v>
      </c>
      <c r="P26" t="s">
        <v>198</v>
      </c>
      <c r="Q26" t="s">
        <v>351</v>
      </c>
      <c r="R26" t="s">
        <v>30</v>
      </c>
      <c r="S26">
        <v>-15.711746</v>
      </c>
      <c r="T26">
        <v>-47.358952000000002</v>
      </c>
    </row>
    <row r="27" spans="1:20" x14ac:dyDescent="0.3">
      <c r="A27" t="s">
        <v>199</v>
      </c>
      <c r="B27" t="s">
        <v>200</v>
      </c>
      <c r="C27" t="s">
        <v>201</v>
      </c>
      <c r="D27" t="s">
        <v>21</v>
      </c>
      <c r="E27" t="s">
        <v>35</v>
      </c>
      <c r="F27" t="str">
        <f t="shared" ca="1" si="0"/>
        <v>008</v>
      </c>
      <c r="G27" t="s">
        <v>202</v>
      </c>
      <c r="H27" t="s">
        <v>83</v>
      </c>
      <c r="I27" t="s">
        <v>59</v>
      </c>
      <c r="J27" t="s">
        <v>26</v>
      </c>
      <c r="K27">
        <v>7</v>
      </c>
      <c r="L27" t="s">
        <v>39</v>
      </c>
      <c r="M27">
        <v>14</v>
      </c>
      <c r="N27">
        <v>24866.87</v>
      </c>
      <c r="O27" t="s">
        <v>203</v>
      </c>
      <c r="P27" t="s">
        <v>204</v>
      </c>
      <c r="Q27" t="s">
        <v>351</v>
      </c>
      <c r="R27" t="s">
        <v>30</v>
      </c>
      <c r="S27">
        <v>-15.604438</v>
      </c>
      <c r="T27">
        <v>-47.469634999999997</v>
      </c>
    </row>
    <row r="28" spans="1:20" x14ac:dyDescent="0.3">
      <c r="A28" t="s">
        <v>205</v>
      </c>
      <c r="B28" t="s">
        <v>206</v>
      </c>
      <c r="C28" t="s">
        <v>207</v>
      </c>
      <c r="D28" t="s">
        <v>73</v>
      </c>
      <c r="E28" t="s">
        <v>66</v>
      </c>
      <c r="F28" t="str">
        <f t="shared" ca="1" si="0"/>
        <v>006</v>
      </c>
      <c r="G28" t="s">
        <v>208</v>
      </c>
      <c r="H28" t="s">
        <v>83</v>
      </c>
      <c r="I28" t="s">
        <v>110</v>
      </c>
      <c r="J28" t="s">
        <v>50</v>
      </c>
      <c r="K28">
        <v>5</v>
      </c>
      <c r="L28" t="s">
        <v>27</v>
      </c>
      <c r="M28">
        <v>0</v>
      </c>
      <c r="N28">
        <v>0</v>
      </c>
      <c r="O28" t="s">
        <v>209</v>
      </c>
      <c r="P28" t="s">
        <v>210</v>
      </c>
      <c r="Q28" t="s">
        <v>350</v>
      </c>
      <c r="R28" t="s">
        <v>93</v>
      </c>
      <c r="S28">
        <v>-15.864103</v>
      </c>
      <c r="T28">
        <v>-47.911974999999998</v>
      </c>
    </row>
    <row r="29" spans="1:20" x14ac:dyDescent="0.3">
      <c r="A29" t="s">
        <v>211</v>
      </c>
      <c r="B29" t="s">
        <v>212</v>
      </c>
      <c r="C29" t="s">
        <v>213</v>
      </c>
      <c r="D29" t="s">
        <v>34</v>
      </c>
      <c r="E29" t="s">
        <v>35</v>
      </c>
      <c r="F29" t="str">
        <f t="shared" ca="1" si="0"/>
        <v>009</v>
      </c>
      <c r="G29" t="s">
        <v>214</v>
      </c>
      <c r="H29" t="s">
        <v>83</v>
      </c>
      <c r="I29" t="s">
        <v>59</v>
      </c>
      <c r="J29" t="s">
        <v>26</v>
      </c>
      <c r="K29">
        <v>6</v>
      </c>
      <c r="L29" t="s">
        <v>39</v>
      </c>
      <c r="M29">
        <v>7</v>
      </c>
      <c r="N29">
        <v>3901.81</v>
      </c>
      <c r="O29" t="s">
        <v>215</v>
      </c>
      <c r="P29" t="s">
        <v>216</v>
      </c>
      <c r="Q29" t="s">
        <v>351</v>
      </c>
      <c r="R29" t="s">
        <v>30</v>
      </c>
      <c r="S29">
        <v>-16.029458000000002</v>
      </c>
      <c r="T29">
        <v>-47.509658999999999</v>
      </c>
    </row>
    <row r="30" spans="1:20" x14ac:dyDescent="0.3">
      <c r="A30" t="s">
        <v>217</v>
      </c>
      <c r="B30" t="s">
        <v>218</v>
      </c>
      <c r="C30" t="s">
        <v>219</v>
      </c>
      <c r="D30" t="s">
        <v>134</v>
      </c>
      <c r="E30" t="s">
        <v>46</v>
      </c>
      <c r="F30" t="str">
        <f t="shared" ca="1" si="0"/>
        <v>009</v>
      </c>
      <c r="G30" t="s">
        <v>220</v>
      </c>
      <c r="H30" t="s">
        <v>37</v>
      </c>
      <c r="I30" t="s">
        <v>25</v>
      </c>
      <c r="J30" t="s">
        <v>26</v>
      </c>
      <c r="K30">
        <v>7</v>
      </c>
      <c r="L30" t="s">
        <v>39</v>
      </c>
      <c r="M30">
        <v>21</v>
      </c>
      <c r="N30">
        <v>10208.299999999999</v>
      </c>
      <c r="O30" t="s">
        <v>221</v>
      </c>
      <c r="P30" t="s">
        <v>222</v>
      </c>
      <c r="Q30" t="s">
        <v>351</v>
      </c>
      <c r="R30" t="s">
        <v>30</v>
      </c>
      <c r="S30">
        <v>-15.699414000000001</v>
      </c>
      <c r="T30">
        <v>-47.596518000000003</v>
      </c>
    </row>
    <row r="31" spans="1:20" x14ac:dyDescent="0.3">
      <c r="A31" t="s">
        <v>223</v>
      </c>
      <c r="B31" t="s">
        <v>224</v>
      </c>
      <c r="C31" t="s">
        <v>225</v>
      </c>
      <c r="D31" t="s">
        <v>56</v>
      </c>
      <c r="E31" t="s">
        <v>46</v>
      </c>
      <c r="F31" t="str">
        <f t="shared" ca="1" si="0"/>
        <v>003</v>
      </c>
      <c r="G31" t="s">
        <v>226</v>
      </c>
      <c r="H31" t="s">
        <v>83</v>
      </c>
      <c r="I31" t="s">
        <v>110</v>
      </c>
      <c r="J31" t="s">
        <v>90</v>
      </c>
      <c r="K31">
        <v>0</v>
      </c>
      <c r="L31" t="s">
        <v>39</v>
      </c>
      <c r="M31">
        <v>30</v>
      </c>
      <c r="N31">
        <v>16039.98</v>
      </c>
      <c r="O31" t="s">
        <v>227</v>
      </c>
      <c r="P31" t="s">
        <v>228</v>
      </c>
      <c r="Q31" t="s">
        <v>351</v>
      </c>
      <c r="R31" t="s">
        <v>30</v>
      </c>
      <c r="S31">
        <v>-15.948615999999999</v>
      </c>
      <c r="T31">
        <v>-48.177213999999999</v>
      </c>
    </row>
    <row r="32" spans="1:20" x14ac:dyDescent="0.3">
      <c r="A32" t="s">
        <v>229</v>
      </c>
      <c r="B32" t="s">
        <v>230</v>
      </c>
      <c r="C32" t="s">
        <v>231</v>
      </c>
      <c r="D32" t="s">
        <v>73</v>
      </c>
      <c r="E32" t="s">
        <v>135</v>
      </c>
      <c r="F32" t="str">
        <f t="shared" ca="1" si="0"/>
        <v>001</v>
      </c>
      <c r="G32" t="s">
        <v>232</v>
      </c>
      <c r="H32" t="s">
        <v>83</v>
      </c>
      <c r="I32" t="s">
        <v>25</v>
      </c>
      <c r="J32" t="s">
        <v>90</v>
      </c>
      <c r="K32">
        <v>7</v>
      </c>
      <c r="L32" t="s">
        <v>39</v>
      </c>
      <c r="M32">
        <v>7</v>
      </c>
      <c r="N32">
        <v>6393.98</v>
      </c>
      <c r="O32" t="s">
        <v>233</v>
      </c>
      <c r="P32" t="s">
        <v>234</v>
      </c>
      <c r="Q32" t="s">
        <v>351</v>
      </c>
      <c r="R32" t="s">
        <v>30</v>
      </c>
      <c r="S32">
        <v>-15.686890999999999</v>
      </c>
      <c r="T32">
        <v>-47.998058999999998</v>
      </c>
    </row>
    <row r="33" spans="1:20" x14ac:dyDescent="0.3">
      <c r="A33" t="s">
        <v>235</v>
      </c>
      <c r="B33" t="s">
        <v>236</v>
      </c>
      <c r="C33" t="s">
        <v>237</v>
      </c>
      <c r="D33" t="s">
        <v>148</v>
      </c>
      <c r="E33" t="s">
        <v>135</v>
      </c>
      <c r="F33" t="str">
        <f t="shared" ca="1" si="0"/>
        <v>004</v>
      </c>
      <c r="G33" t="s">
        <v>238</v>
      </c>
      <c r="H33" t="s">
        <v>48</v>
      </c>
      <c r="I33" t="s">
        <v>110</v>
      </c>
      <c r="J33" t="s">
        <v>90</v>
      </c>
      <c r="K33">
        <v>7</v>
      </c>
      <c r="L33" t="s">
        <v>39</v>
      </c>
      <c r="M33">
        <v>28</v>
      </c>
      <c r="N33">
        <v>28435.040000000001</v>
      </c>
      <c r="O33" t="s">
        <v>239</v>
      </c>
      <c r="P33" t="s">
        <v>240</v>
      </c>
      <c r="Q33" t="s">
        <v>350</v>
      </c>
      <c r="R33" t="s">
        <v>30</v>
      </c>
      <c r="S33">
        <v>-16.024698999999998</v>
      </c>
      <c r="T33">
        <v>-48.213343999999999</v>
      </c>
    </row>
    <row r="34" spans="1:20" x14ac:dyDescent="0.3">
      <c r="A34" t="s">
        <v>241</v>
      </c>
      <c r="B34" t="s">
        <v>242</v>
      </c>
      <c r="C34" t="s">
        <v>243</v>
      </c>
      <c r="D34" t="s">
        <v>148</v>
      </c>
      <c r="E34" t="s">
        <v>57</v>
      </c>
      <c r="F34" t="str">
        <f t="shared" ca="1" si="0"/>
        <v>007</v>
      </c>
      <c r="G34" t="s">
        <v>244</v>
      </c>
      <c r="H34" t="s">
        <v>24</v>
      </c>
      <c r="I34" t="s">
        <v>110</v>
      </c>
      <c r="J34" t="s">
        <v>90</v>
      </c>
      <c r="K34">
        <v>2</v>
      </c>
      <c r="L34" t="s">
        <v>39</v>
      </c>
      <c r="M34">
        <v>30</v>
      </c>
      <c r="N34">
        <v>18106.63</v>
      </c>
      <c r="O34" t="s">
        <v>245</v>
      </c>
      <c r="P34" t="s">
        <v>246</v>
      </c>
      <c r="Q34" t="s">
        <v>351</v>
      </c>
      <c r="R34" t="s">
        <v>30</v>
      </c>
      <c r="S34">
        <v>-15.830822</v>
      </c>
      <c r="T34">
        <v>-47.695734999999999</v>
      </c>
    </row>
    <row r="35" spans="1:20" x14ac:dyDescent="0.3">
      <c r="A35" t="s">
        <v>247</v>
      </c>
      <c r="B35" t="s">
        <v>248</v>
      </c>
      <c r="C35" t="s">
        <v>249</v>
      </c>
      <c r="D35" t="s">
        <v>134</v>
      </c>
      <c r="E35" t="s">
        <v>35</v>
      </c>
      <c r="F35" t="str">
        <f t="shared" ca="1" si="0"/>
        <v>003</v>
      </c>
      <c r="G35" t="s">
        <v>250</v>
      </c>
      <c r="H35" t="s">
        <v>48</v>
      </c>
      <c r="I35" t="s">
        <v>25</v>
      </c>
      <c r="J35" t="s">
        <v>90</v>
      </c>
      <c r="K35">
        <v>2</v>
      </c>
      <c r="L35" t="s">
        <v>27</v>
      </c>
      <c r="M35">
        <v>0</v>
      </c>
      <c r="N35">
        <v>22871.8</v>
      </c>
      <c r="O35" t="s">
        <v>251</v>
      </c>
      <c r="P35" t="s">
        <v>252</v>
      </c>
      <c r="R35" t="s">
        <v>77</v>
      </c>
      <c r="S35">
        <v>-15.960386</v>
      </c>
      <c r="T35">
        <v>-48.186487999999997</v>
      </c>
    </row>
    <row r="36" spans="1:20" x14ac:dyDescent="0.3">
      <c r="A36" t="s">
        <v>253</v>
      </c>
      <c r="B36" t="s">
        <v>254</v>
      </c>
      <c r="C36" t="s">
        <v>255</v>
      </c>
      <c r="D36" t="s">
        <v>21</v>
      </c>
      <c r="E36" t="s">
        <v>22</v>
      </c>
      <c r="F36" t="str">
        <f t="shared" ca="1" si="0"/>
        <v>008</v>
      </c>
      <c r="G36" t="s">
        <v>256</v>
      </c>
      <c r="H36" t="s">
        <v>83</v>
      </c>
      <c r="I36" t="s">
        <v>38</v>
      </c>
      <c r="J36" t="s">
        <v>50</v>
      </c>
      <c r="K36">
        <v>5</v>
      </c>
      <c r="L36" t="s">
        <v>39</v>
      </c>
      <c r="M36">
        <v>30</v>
      </c>
      <c r="N36">
        <v>1619.54</v>
      </c>
      <c r="O36" t="s">
        <v>257</v>
      </c>
      <c r="P36" t="s">
        <v>258</v>
      </c>
      <c r="Q36" t="s">
        <v>351</v>
      </c>
      <c r="R36" t="s">
        <v>30</v>
      </c>
      <c r="S36">
        <v>-15.705733</v>
      </c>
      <c r="T36">
        <v>-47.511615999999997</v>
      </c>
    </row>
    <row r="37" spans="1:20" x14ac:dyDescent="0.3">
      <c r="A37" t="s">
        <v>259</v>
      </c>
      <c r="B37" t="s">
        <v>260</v>
      </c>
      <c r="C37" t="s">
        <v>261</v>
      </c>
      <c r="D37" t="s">
        <v>21</v>
      </c>
      <c r="E37" t="s">
        <v>57</v>
      </c>
      <c r="F37" t="str">
        <f t="shared" ca="1" si="0"/>
        <v>004</v>
      </c>
      <c r="G37" t="s">
        <v>262</v>
      </c>
      <c r="H37" t="s">
        <v>37</v>
      </c>
      <c r="I37" t="s">
        <v>25</v>
      </c>
      <c r="J37" t="s">
        <v>26</v>
      </c>
      <c r="K37">
        <v>6</v>
      </c>
      <c r="L37" t="s">
        <v>27</v>
      </c>
      <c r="M37">
        <v>0</v>
      </c>
      <c r="N37">
        <v>5017.6000000000004</v>
      </c>
      <c r="O37" t="s">
        <v>263</v>
      </c>
      <c r="P37" t="s">
        <v>264</v>
      </c>
      <c r="Q37" t="s">
        <v>350</v>
      </c>
      <c r="R37" t="s">
        <v>30</v>
      </c>
      <c r="S37">
        <v>-16.010846000000001</v>
      </c>
      <c r="T37">
        <v>-47.962921999999999</v>
      </c>
    </row>
    <row r="38" spans="1:20" x14ac:dyDescent="0.3">
      <c r="A38" t="s">
        <v>265</v>
      </c>
      <c r="B38" t="s">
        <v>266</v>
      </c>
      <c r="C38" t="s">
        <v>267</v>
      </c>
      <c r="D38" t="s">
        <v>56</v>
      </c>
      <c r="E38" t="s">
        <v>46</v>
      </c>
      <c r="F38" t="str">
        <f t="shared" ca="1" si="0"/>
        <v>008</v>
      </c>
      <c r="G38" t="s">
        <v>268</v>
      </c>
      <c r="H38" t="s">
        <v>83</v>
      </c>
      <c r="I38" t="s">
        <v>49</v>
      </c>
      <c r="J38" t="s">
        <v>50</v>
      </c>
      <c r="K38">
        <v>0</v>
      </c>
      <c r="L38" t="s">
        <v>27</v>
      </c>
      <c r="M38">
        <v>0</v>
      </c>
      <c r="N38">
        <v>25876.02</v>
      </c>
      <c r="O38" t="s">
        <v>269</v>
      </c>
      <c r="P38" t="s">
        <v>270</v>
      </c>
      <c r="Q38" t="s">
        <v>351</v>
      </c>
      <c r="R38" t="s">
        <v>30</v>
      </c>
      <c r="S38">
        <v>-15.56739</v>
      </c>
      <c r="T38">
        <v>-47.588436000000002</v>
      </c>
    </row>
    <row r="39" spans="1:20" x14ac:dyDescent="0.3">
      <c r="A39" t="s">
        <v>271</v>
      </c>
      <c r="B39" t="s">
        <v>272</v>
      </c>
      <c r="C39" t="s">
        <v>273</v>
      </c>
      <c r="D39" t="s">
        <v>56</v>
      </c>
      <c r="E39" t="s">
        <v>22</v>
      </c>
      <c r="F39" t="str">
        <f t="shared" ca="1" si="0"/>
        <v>002</v>
      </c>
      <c r="G39" t="s">
        <v>274</v>
      </c>
      <c r="H39" t="s">
        <v>37</v>
      </c>
      <c r="I39" t="s">
        <v>49</v>
      </c>
      <c r="J39" t="s">
        <v>26</v>
      </c>
      <c r="K39">
        <v>5</v>
      </c>
      <c r="L39" t="s">
        <v>39</v>
      </c>
      <c r="M39">
        <v>30</v>
      </c>
      <c r="N39">
        <v>17883.080000000002</v>
      </c>
      <c r="O39" t="s">
        <v>275</v>
      </c>
      <c r="P39" t="s">
        <v>276</v>
      </c>
      <c r="Q39" t="s">
        <v>351</v>
      </c>
      <c r="R39" t="s">
        <v>30</v>
      </c>
      <c r="S39">
        <v>-15.918772000000001</v>
      </c>
      <c r="T39">
        <v>-47.63814</v>
      </c>
    </row>
    <row r="40" spans="1:20" x14ac:dyDescent="0.3">
      <c r="A40" t="s">
        <v>277</v>
      </c>
      <c r="B40" t="s">
        <v>278</v>
      </c>
      <c r="C40" t="s">
        <v>279</v>
      </c>
      <c r="D40" t="s">
        <v>45</v>
      </c>
      <c r="E40" t="s">
        <v>46</v>
      </c>
      <c r="F40" t="str">
        <f t="shared" ca="1" si="0"/>
        <v>007</v>
      </c>
      <c r="G40" t="s">
        <v>280</v>
      </c>
      <c r="H40" t="s">
        <v>24</v>
      </c>
      <c r="I40" t="s">
        <v>59</v>
      </c>
      <c r="J40" t="s">
        <v>90</v>
      </c>
      <c r="K40">
        <v>6</v>
      </c>
      <c r="L40" t="s">
        <v>39</v>
      </c>
      <c r="M40">
        <v>21</v>
      </c>
      <c r="N40">
        <v>33320.639999999999</v>
      </c>
      <c r="O40" t="s">
        <v>281</v>
      </c>
      <c r="P40" t="s">
        <v>282</v>
      </c>
      <c r="Q40" t="s">
        <v>351</v>
      </c>
      <c r="R40" t="s">
        <v>30</v>
      </c>
      <c r="S40">
        <v>-15.835939</v>
      </c>
      <c r="T40">
        <v>-48.240245999999999</v>
      </c>
    </row>
    <row r="41" spans="1:20" x14ac:dyDescent="0.3">
      <c r="A41" t="s">
        <v>283</v>
      </c>
      <c r="B41" t="s">
        <v>284</v>
      </c>
      <c r="C41" t="s">
        <v>285</v>
      </c>
      <c r="D41" t="s">
        <v>148</v>
      </c>
      <c r="E41" t="s">
        <v>22</v>
      </c>
      <c r="F41" t="str">
        <f t="shared" ca="1" si="0"/>
        <v>004</v>
      </c>
      <c r="G41" t="s">
        <v>286</v>
      </c>
      <c r="H41" t="s">
        <v>48</v>
      </c>
      <c r="I41" t="s">
        <v>38</v>
      </c>
      <c r="J41" t="s">
        <v>50</v>
      </c>
      <c r="K41">
        <v>7</v>
      </c>
      <c r="L41" t="s">
        <v>27</v>
      </c>
      <c r="M41">
        <v>0</v>
      </c>
      <c r="N41">
        <v>27847.02</v>
      </c>
      <c r="O41" t="s">
        <v>287</v>
      </c>
      <c r="P41" t="s">
        <v>288</v>
      </c>
      <c r="Q41" t="s">
        <v>351</v>
      </c>
      <c r="R41" t="s">
        <v>30</v>
      </c>
      <c r="S41">
        <v>-15.803355</v>
      </c>
      <c r="T41">
        <v>-47.986109999999996</v>
      </c>
    </row>
    <row r="42" spans="1:20" x14ac:dyDescent="0.3">
      <c r="A42" t="s">
        <v>289</v>
      </c>
      <c r="B42" t="s">
        <v>290</v>
      </c>
      <c r="C42" t="s">
        <v>291</v>
      </c>
      <c r="D42" t="s">
        <v>134</v>
      </c>
      <c r="E42" t="s">
        <v>46</v>
      </c>
      <c r="F42" t="str">
        <f t="shared" ca="1" si="0"/>
        <v>002</v>
      </c>
      <c r="G42" t="s">
        <v>136</v>
      </c>
      <c r="H42" t="s">
        <v>37</v>
      </c>
      <c r="I42" t="s">
        <v>110</v>
      </c>
      <c r="J42" t="s">
        <v>26</v>
      </c>
      <c r="K42">
        <v>4</v>
      </c>
      <c r="L42" t="s">
        <v>39</v>
      </c>
      <c r="M42">
        <v>14</v>
      </c>
      <c r="N42">
        <v>29508.35</v>
      </c>
      <c r="O42" t="s">
        <v>292</v>
      </c>
      <c r="P42" t="s">
        <v>293</v>
      </c>
      <c r="Q42" t="s">
        <v>350</v>
      </c>
      <c r="R42" t="s">
        <v>30</v>
      </c>
      <c r="S42">
        <v>-15.807157999999999</v>
      </c>
      <c r="T42">
        <v>-47.451065999999997</v>
      </c>
    </row>
    <row r="43" spans="1:20" x14ac:dyDescent="0.3">
      <c r="A43" t="s">
        <v>294</v>
      </c>
      <c r="B43" t="s">
        <v>295</v>
      </c>
      <c r="C43" t="s">
        <v>296</v>
      </c>
      <c r="D43" t="s">
        <v>34</v>
      </c>
      <c r="E43" t="s">
        <v>66</v>
      </c>
      <c r="F43" t="str">
        <f t="shared" ca="1" si="0"/>
        <v>006</v>
      </c>
      <c r="G43" t="s">
        <v>297</v>
      </c>
      <c r="H43" t="s">
        <v>48</v>
      </c>
      <c r="I43" t="s">
        <v>38</v>
      </c>
      <c r="J43" t="s">
        <v>26</v>
      </c>
      <c r="K43">
        <v>5</v>
      </c>
      <c r="L43" t="s">
        <v>39</v>
      </c>
      <c r="M43">
        <v>7</v>
      </c>
      <c r="N43">
        <v>28635.19</v>
      </c>
      <c r="O43" t="s">
        <v>298</v>
      </c>
      <c r="P43" t="s">
        <v>299</v>
      </c>
      <c r="Q43" t="s">
        <v>351</v>
      </c>
      <c r="R43" t="s">
        <v>30</v>
      </c>
      <c r="S43">
        <v>-15.597977</v>
      </c>
      <c r="T43">
        <v>-47.614381999999999</v>
      </c>
    </row>
    <row r="44" spans="1:20" x14ac:dyDescent="0.3">
      <c r="A44" t="s">
        <v>300</v>
      </c>
      <c r="B44" t="s">
        <v>301</v>
      </c>
      <c r="C44" t="s">
        <v>302</v>
      </c>
      <c r="D44" t="s">
        <v>45</v>
      </c>
      <c r="E44" t="s">
        <v>135</v>
      </c>
      <c r="F44" t="str">
        <f t="shared" ca="1" si="0"/>
        <v>004</v>
      </c>
      <c r="G44" t="s">
        <v>303</v>
      </c>
      <c r="H44" t="s">
        <v>37</v>
      </c>
      <c r="I44" t="s">
        <v>25</v>
      </c>
      <c r="J44" t="s">
        <v>90</v>
      </c>
      <c r="K44">
        <v>1</v>
      </c>
      <c r="L44" t="s">
        <v>27</v>
      </c>
      <c r="M44">
        <v>0</v>
      </c>
      <c r="N44">
        <v>12228.59</v>
      </c>
      <c r="O44" t="s">
        <v>304</v>
      </c>
      <c r="P44" t="s">
        <v>305</v>
      </c>
      <c r="R44" t="s">
        <v>77</v>
      </c>
      <c r="S44">
        <v>-15.635642000000001</v>
      </c>
      <c r="T44">
        <v>-47.911366000000001</v>
      </c>
    </row>
    <row r="45" spans="1:20" x14ac:dyDescent="0.3">
      <c r="A45" t="s">
        <v>306</v>
      </c>
      <c r="B45" t="s">
        <v>307</v>
      </c>
      <c r="C45" t="s">
        <v>308</v>
      </c>
      <c r="D45" t="s">
        <v>173</v>
      </c>
      <c r="E45" t="s">
        <v>135</v>
      </c>
      <c r="F45" t="str">
        <f t="shared" ca="1" si="0"/>
        <v>007</v>
      </c>
      <c r="G45" t="s">
        <v>309</v>
      </c>
      <c r="H45" t="s">
        <v>83</v>
      </c>
      <c r="I45" t="s">
        <v>49</v>
      </c>
      <c r="J45" t="s">
        <v>50</v>
      </c>
      <c r="K45">
        <v>4</v>
      </c>
      <c r="L45" t="s">
        <v>39</v>
      </c>
      <c r="M45">
        <v>14</v>
      </c>
      <c r="N45">
        <v>9075.2199999999993</v>
      </c>
      <c r="O45" t="s">
        <v>310</v>
      </c>
      <c r="P45" t="s">
        <v>311</v>
      </c>
      <c r="Q45" t="s">
        <v>351</v>
      </c>
      <c r="R45" t="s">
        <v>30</v>
      </c>
      <c r="S45">
        <v>-15.792237</v>
      </c>
      <c r="T45">
        <v>-48.199326999999997</v>
      </c>
    </row>
    <row r="46" spans="1:20" x14ac:dyDescent="0.3">
      <c r="A46" t="s">
        <v>312</v>
      </c>
      <c r="B46" t="s">
        <v>313</v>
      </c>
      <c r="C46" t="s">
        <v>314</v>
      </c>
      <c r="D46" t="s">
        <v>21</v>
      </c>
      <c r="E46" t="s">
        <v>46</v>
      </c>
      <c r="F46" t="str">
        <f t="shared" ca="1" si="0"/>
        <v>006</v>
      </c>
      <c r="G46" t="s">
        <v>315</v>
      </c>
      <c r="H46" t="s">
        <v>48</v>
      </c>
      <c r="I46" t="s">
        <v>38</v>
      </c>
      <c r="J46" t="s">
        <v>26</v>
      </c>
      <c r="K46">
        <v>6</v>
      </c>
      <c r="L46" t="s">
        <v>39</v>
      </c>
      <c r="M46">
        <v>7</v>
      </c>
      <c r="N46">
        <v>31298.87</v>
      </c>
      <c r="O46" t="s">
        <v>316</v>
      </c>
      <c r="P46" t="s">
        <v>317</v>
      </c>
      <c r="Q46" t="s">
        <v>351</v>
      </c>
      <c r="R46" t="s">
        <v>30</v>
      </c>
      <c r="S46">
        <v>-15.57227</v>
      </c>
      <c r="T46">
        <v>-48.048763999999998</v>
      </c>
    </row>
    <row r="47" spans="1:20" x14ac:dyDescent="0.3">
      <c r="A47" t="s">
        <v>318</v>
      </c>
      <c r="B47" t="s">
        <v>319</v>
      </c>
      <c r="C47" t="s">
        <v>320</v>
      </c>
      <c r="D47" t="s">
        <v>56</v>
      </c>
      <c r="E47" t="s">
        <v>57</v>
      </c>
      <c r="F47" t="str">
        <f t="shared" ca="1" si="0"/>
        <v>010</v>
      </c>
      <c r="G47" t="s">
        <v>321</v>
      </c>
      <c r="H47" t="s">
        <v>83</v>
      </c>
      <c r="I47" t="s">
        <v>49</v>
      </c>
      <c r="J47" t="s">
        <v>90</v>
      </c>
      <c r="K47">
        <v>6</v>
      </c>
      <c r="L47" t="s">
        <v>27</v>
      </c>
      <c r="M47">
        <v>0</v>
      </c>
      <c r="N47">
        <v>16454.400000000001</v>
      </c>
      <c r="O47" t="s">
        <v>322</v>
      </c>
      <c r="P47" t="s">
        <v>323</v>
      </c>
      <c r="Q47" t="s">
        <v>351</v>
      </c>
      <c r="R47" t="s">
        <v>30</v>
      </c>
      <c r="S47">
        <v>-16.009412000000001</v>
      </c>
      <c r="T47">
        <v>-47.751531</v>
      </c>
    </row>
    <row r="48" spans="1:20" x14ac:dyDescent="0.3">
      <c r="A48" t="s">
        <v>324</v>
      </c>
      <c r="B48" t="s">
        <v>325</v>
      </c>
      <c r="C48" t="s">
        <v>326</v>
      </c>
      <c r="D48" t="s">
        <v>173</v>
      </c>
      <c r="E48" t="s">
        <v>66</v>
      </c>
      <c r="F48" t="str">
        <f t="shared" ca="1" si="0"/>
        <v>006</v>
      </c>
      <c r="G48" t="s">
        <v>327</v>
      </c>
      <c r="H48" t="s">
        <v>48</v>
      </c>
      <c r="I48" t="s">
        <v>59</v>
      </c>
      <c r="J48" t="s">
        <v>26</v>
      </c>
      <c r="K48">
        <v>7</v>
      </c>
      <c r="L48" t="s">
        <v>39</v>
      </c>
      <c r="M48">
        <v>7</v>
      </c>
      <c r="N48">
        <v>6769.12</v>
      </c>
      <c r="O48" t="s">
        <v>328</v>
      </c>
      <c r="P48" t="s">
        <v>329</v>
      </c>
      <c r="Q48" t="s">
        <v>350</v>
      </c>
      <c r="R48" t="s">
        <v>30</v>
      </c>
      <c r="S48">
        <v>-15.546609999999999</v>
      </c>
      <c r="T48">
        <v>-47.387168000000003</v>
      </c>
    </row>
    <row r="49" spans="1:20" x14ac:dyDescent="0.3">
      <c r="A49" t="s">
        <v>330</v>
      </c>
      <c r="B49" t="s">
        <v>331</v>
      </c>
      <c r="C49" t="s">
        <v>332</v>
      </c>
      <c r="D49" t="s">
        <v>148</v>
      </c>
      <c r="E49" t="s">
        <v>22</v>
      </c>
      <c r="F49" t="str">
        <f t="shared" ca="1" si="0"/>
        <v>009</v>
      </c>
      <c r="G49" t="s">
        <v>333</v>
      </c>
      <c r="H49" t="s">
        <v>24</v>
      </c>
      <c r="I49" t="s">
        <v>49</v>
      </c>
      <c r="J49" t="s">
        <v>26</v>
      </c>
      <c r="K49">
        <v>0</v>
      </c>
      <c r="L49" t="s">
        <v>39</v>
      </c>
      <c r="M49">
        <v>28</v>
      </c>
      <c r="N49">
        <v>14981.03</v>
      </c>
      <c r="O49" t="s">
        <v>334</v>
      </c>
      <c r="P49" t="s">
        <v>335</v>
      </c>
      <c r="Q49" t="s">
        <v>351</v>
      </c>
      <c r="R49" t="s">
        <v>30</v>
      </c>
      <c r="S49">
        <v>-15.728989</v>
      </c>
      <c r="T49">
        <v>-48.180039000000001</v>
      </c>
    </row>
    <row r="50" spans="1:20" x14ac:dyDescent="0.3">
      <c r="A50" t="s">
        <v>336</v>
      </c>
      <c r="B50" t="s">
        <v>337</v>
      </c>
      <c r="C50" t="s">
        <v>338</v>
      </c>
      <c r="D50" t="s">
        <v>45</v>
      </c>
      <c r="E50" t="s">
        <v>135</v>
      </c>
      <c r="F50" t="str">
        <f t="shared" ca="1" si="0"/>
        <v>004</v>
      </c>
      <c r="G50" t="s">
        <v>339</v>
      </c>
      <c r="H50" t="s">
        <v>83</v>
      </c>
      <c r="I50" t="s">
        <v>110</v>
      </c>
      <c r="J50" t="s">
        <v>90</v>
      </c>
      <c r="K50">
        <v>7</v>
      </c>
      <c r="L50" t="s">
        <v>39</v>
      </c>
      <c r="M50">
        <v>30</v>
      </c>
      <c r="N50">
        <v>30806.49</v>
      </c>
      <c r="O50" t="s">
        <v>340</v>
      </c>
      <c r="P50" t="s">
        <v>341</v>
      </c>
      <c r="Q50" t="s">
        <v>351</v>
      </c>
      <c r="R50" t="s">
        <v>30</v>
      </c>
      <c r="S50">
        <v>-15.54899</v>
      </c>
      <c r="T50">
        <v>-47.509715999999997</v>
      </c>
    </row>
    <row r="51" spans="1:20" x14ac:dyDescent="0.3">
      <c r="A51" t="s">
        <v>342</v>
      </c>
      <c r="B51" t="s">
        <v>343</v>
      </c>
      <c r="C51" t="s">
        <v>344</v>
      </c>
      <c r="D51" t="s">
        <v>81</v>
      </c>
      <c r="E51" t="s">
        <v>22</v>
      </c>
      <c r="F51" t="str">
        <f t="shared" ca="1" si="0"/>
        <v>001</v>
      </c>
      <c r="G51" t="s">
        <v>345</v>
      </c>
      <c r="H51" t="s">
        <v>37</v>
      </c>
      <c r="I51" t="s">
        <v>49</v>
      </c>
      <c r="J51" t="s">
        <v>90</v>
      </c>
      <c r="K51">
        <v>2</v>
      </c>
      <c r="L51" t="s">
        <v>39</v>
      </c>
      <c r="M51">
        <v>7</v>
      </c>
      <c r="N51">
        <v>29632.04</v>
      </c>
      <c r="O51" t="s">
        <v>346</v>
      </c>
      <c r="P51" t="s">
        <v>347</v>
      </c>
      <c r="Q51" t="s">
        <v>351</v>
      </c>
      <c r="R51" t="s">
        <v>30</v>
      </c>
      <c r="S51">
        <v>-15.622318999999999</v>
      </c>
      <c r="T51">
        <v>-47.817667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 Jose</cp:lastModifiedBy>
  <dcterms:created xsi:type="dcterms:W3CDTF">2026-07-22T22:58:53Z</dcterms:created>
  <dcterms:modified xsi:type="dcterms:W3CDTF">2026-07-24T00:07:28Z</dcterms:modified>
</cp:coreProperties>
</file>